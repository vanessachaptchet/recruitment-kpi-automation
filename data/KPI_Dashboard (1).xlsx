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andidates" sheetId="2" r:id="rId6"/>
  </sheets>
  <definedNames/>
  <calcPr/>
</workbook>
</file>

<file path=xl/sharedStrings.xml><?xml version="1.0" encoding="utf-8"?>
<sst xmlns="http://schemas.openxmlformats.org/spreadsheetml/2006/main" count="399" uniqueCount="241">
  <si>
    <t>KPI</t>
  </si>
  <si>
    <t>Wert</t>
  </si>
  <si>
    <t>City</t>
  </si>
  <si>
    <t>Count</t>
  </si>
  <si>
    <t>Total Candidates</t>
  </si>
  <si>
    <t>Average Age</t>
  </si>
  <si>
    <t>Hamburg</t>
  </si>
  <si>
    <t>Pflegekraft Candidates</t>
  </si>
  <si>
    <t>München</t>
  </si>
  <si>
    <t>Pflegehelfer Candidates</t>
  </si>
  <si>
    <t>Köln</t>
  </si>
  <si>
    <t>Top City</t>
  </si>
  <si>
    <t>Frankfurt</t>
  </si>
  <si>
    <t>Stuttgart</t>
  </si>
  <si>
    <t>Düsseldorf</t>
  </si>
  <si>
    <t>Leipzig</t>
  </si>
  <si>
    <t>Dortmund</t>
  </si>
  <si>
    <t>Bremen</t>
  </si>
  <si>
    <t>Hannover</t>
  </si>
  <si>
    <t>Nürnberg</t>
  </si>
  <si>
    <t>Dresden</t>
  </si>
  <si>
    <t>Essen</t>
  </si>
  <si>
    <t>Bonn</t>
  </si>
  <si>
    <t>Bochum</t>
  </si>
  <si>
    <t>Wuppertal</t>
  </si>
  <si>
    <t>Bielefeld</t>
  </si>
  <si>
    <t>Mannheim</t>
  </si>
  <si>
    <t>Augsburg</t>
  </si>
  <si>
    <t>Wiesbaden</t>
  </si>
  <si>
    <t>Gelsenkirchen</t>
  </si>
  <si>
    <t>Mönchengladbach</t>
  </si>
  <si>
    <t>Braunschweig</t>
  </si>
  <si>
    <t>Chemnitz</t>
  </si>
  <si>
    <t>Kiel</t>
  </si>
  <si>
    <t>Aachen</t>
  </si>
  <si>
    <t>Halle</t>
  </si>
  <si>
    <t>Magdeburg</t>
  </si>
  <si>
    <t>Freiburg</t>
  </si>
  <si>
    <t>Rostock</t>
  </si>
  <si>
    <t>Kassel</t>
  </si>
  <si>
    <t>Lübeck</t>
  </si>
  <si>
    <t>Erfurt</t>
  </si>
  <si>
    <t>Mainz</t>
  </si>
  <si>
    <t>Saarbrücken</t>
  </si>
  <si>
    <t>Potsdam</t>
  </si>
  <si>
    <t>Ulm</t>
  </si>
  <si>
    <t>Regensburg</t>
  </si>
  <si>
    <t>Heidelberg</t>
  </si>
  <si>
    <t>Oldenburg</t>
  </si>
  <si>
    <t>Osnabrück</t>
  </si>
  <si>
    <t>Paderborn</t>
  </si>
  <si>
    <t>Ingolstadt</t>
  </si>
  <si>
    <t>Würzburg</t>
  </si>
  <si>
    <t>Offenbach</t>
  </si>
  <si>
    <t>Fürth</t>
  </si>
  <si>
    <t>Heilbronn</t>
  </si>
  <si>
    <t>Trier</t>
  </si>
  <si>
    <t>Jena</t>
  </si>
  <si>
    <t>Flensburg</t>
  </si>
  <si>
    <t>giessen</t>
  </si>
  <si>
    <t>kekem</t>
  </si>
  <si>
    <t>Muenchen</t>
  </si>
  <si>
    <t>Koeln</t>
  </si>
  <si>
    <t>Dusseldorf</t>
  </si>
  <si>
    <t>Nuernberg</t>
  </si>
  <si>
    <t>Duisburg</t>
  </si>
  <si>
    <t>Munster</t>
  </si>
  <si>
    <t>Karlsruhe</t>
  </si>
  <si>
    <t>Maenchengladbach</t>
  </si>
  <si>
    <t>Krefeld</t>
  </si>
  <si>
    <t>Luebeck</t>
  </si>
  <si>
    <t>Oberhausen</t>
  </si>
  <si>
    <t>Hagen</t>
  </si>
  <si>
    <t>Saarbruecken</t>
  </si>
  <si>
    <t>Hamm</t>
  </si>
  <si>
    <t>Ludwigshafen</t>
  </si>
  <si>
    <t>Leverkusen</t>
  </si>
  <si>
    <t>Osnabraeck</t>
  </si>
  <si>
    <t>Solingen</t>
  </si>
  <si>
    <t>name</t>
  </si>
  <si>
    <t>age</t>
  </si>
  <si>
    <t>city</t>
  </si>
  <si>
    <t>start_date</t>
  </si>
  <si>
    <t>message</t>
  </si>
  <si>
    <t>Anna Müller</t>
  </si>
  <si>
    <t>Berlin</t>
  </si>
  <si>
    <t>Ich suche einen Pflegejob in Berlin ab Juni.</t>
  </si>
  <si>
    <t>David Schmidt</t>
  </si>
  <si>
    <t>Pflegehelfer mit Erfahrung sucht neue Stelle.</t>
  </si>
  <si>
    <t>Sarah Becker</t>
  </si>
  <si>
    <t>Ich interessiere mich für Pflegejobs in München.</t>
  </si>
  <si>
    <t>Laura Fischer</t>
  </si>
  <si>
    <t>Ich kann ab Mitte Juni anfangen.</t>
  </si>
  <si>
    <t>Michael Wagner</t>
  </si>
  <si>
    <t>Pflegefachkraft mit 10 Jahren Erfahrung.</t>
  </si>
  <si>
    <t>Julia Hoffmann</t>
  </si>
  <si>
    <t>Suche Vollzeitstelle im Pflegebereich.</t>
  </si>
  <si>
    <t>Daniel Weber</t>
  </si>
  <si>
    <t>Pflegeassistent sucht neue Herausforderung.</t>
  </si>
  <si>
    <t>Lisa Neumann</t>
  </si>
  <si>
    <t>Ich suche einen Job als Pflegekraft.</t>
  </si>
  <si>
    <t>Kevin Braun</t>
  </si>
  <si>
    <t>Interesse an Pflegejobs im Raum Dortmund.</t>
  </si>
  <si>
    <t>Sophie Richter</t>
  </si>
  <si>
    <t>Pflegefachfrau mit Berufserfahrung.</t>
  </si>
  <si>
    <t>Thomas Klein</t>
  </si>
  <si>
    <t>Suche neue Stelle in der Pflege.</t>
  </si>
  <si>
    <t>Marie Wolf</t>
  </si>
  <si>
    <t>Ich möchte im Pflegebereich arbeiten.</t>
  </si>
  <si>
    <t>Jan Schneider</t>
  </si>
  <si>
    <t>Pflegehelfer sucht Vollzeitstelle.</t>
  </si>
  <si>
    <t>Emma Krüger</t>
  </si>
  <si>
    <t>Interesse an Pflegejobs in Essen.</t>
  </si>
  <si>
    <t>Felix Hartmann</t>
  </si>
  <si>
    <t>Pflegekraft mit Erfahrung in Seniorenheimen.</t>
  </si>
  <si>
    <t>Nina Vogel</t>
  </si>
  <si>
    <t>Suche Pflegejob mit flexiblen Zeiten.</t>
  </si>
  <si>
    <t>Lukas Zimmermann</t>
  </si>
  <si>
    <t>Pflegeassistent sucht neue Position.</t>
  </si>
  <si>
    <t>Clara König</t>
  </si>
  <si>
    <t>Ich interessiere mich für Pflegearbeit.</t>
  </si>
  <si>
    <t>Paul Lehmann</t>
  </si>
  <si>
    <t>Pflegefachkraft sucht neue Herausforderung.</t>
  </si>
  <si>
    <t>Hannah Schubert</t>
  </si>
  <si>
    <t>Ich suche einen Pflegejob ab sofort.</t>
  </si>
  <si>
    <t>Tim Becker</t>
  </si>
  <si>
    <t>Pflegehelfer mit Erfahrung verfügbar.</t>
  </si>
  <si>
    <t>Mia Keller</t>
  </si>
  <si>
    <t>Interesse an Pflegejobs in NRW.</t>
  </si>
  <si>
    <t>Jonas Frank</t>
  </si>
  <si>
    <t>Pflegekraft sucht Vollzeitstelle.</t>
  </si>
  <si>
    <t>Leonie Berger</t>
  </si>
  <si>
    <t>Pflegefachfrau sucht neue Stelle.</t>
  </si>
  <si>
    <t>Ben Schwarz</t>
  </si>
  <si>
    <t>Pflegehelfer mit langjähriger Erfahrung.</t>
  </si>
  <si>
    <t>Charlotte Meier</t>
  </si>
  <si>
    <t>Ich suche eine Stelle im Pflegebereich.</t>
  </si>
  <si>
    <t>Noah Krause</t>
  </si>
  <si>
    <t>Pflegekraft mit Erfahrung im Krankenhaus.</t>
  </si>
  <si>
    <t>Ella Richter</t>
  </si>
  <si>
    <t>Interesse an Pflegejobs in Halle.</t>
  </si>
  <si>
    <t>Leon Hofmann</t>
  </si>
  <si>
    <t>Lina Sommer</t>
  </si>
  <si>
    <t>Ich suche einen Pflegejob in Freiburg.</t>
  </si>
  <si>
    <t>Maximilian Koch</t>
  </si>
  <si>
    <t>Pflegefachkraft sucht neue Möglichkeiten.</t>
  </si>
  <si>
    <t>Sophia Lang</t>
  </si>
  <si>
    <t>Interesse an Vollzeitjobs in der Pflege.</t>
  </si>
  <si>
    <t>Julian Peters</t>
  </si>
  <si>
    <t>Pflegehelfer mit Erfahrung im Krankenhaus.</t>
  </si>
  <si>
    <t>Emily Braun</t>
  </si>
  <si>
    <t>Ich suche einen Pflegejob in Erfurt.</t>
  </si>
  <si>
    <t>Alexander Roth</t>
  </si>
  <si>
    <t>Pflegefachmann mit langjähriger Erfahrung.</t>
  </si>
  <si>
    <t>Marlene Seidel</t>
  </si>
  <si>
    <t>Pflegeassistentin sucht neue Stelle.</t>
  </si>
  <si>
    <t>Niklas Werner</t>
  </si>
  <si>
    <t>Interesse an Pflegejobs im Raum Berlin.</t>
  </si>
  <si>
    <t>Amelie Schulz</t>
  </si>
  <si>
    <t>Pflegekraft sucht Berufseinstieg.</t>
  </si>
  <si>
    <t>Sebastian Hoffmann</t>
  </si>
  <si>
    <t>Victoria König</t>
  </si>
  <si>
    <t>Tobias Krüger</t>
  </si>
  <si>
    <t>Pflegefachkraft mit Erfahrung sucht Job.</t>
  </si>
  <si>
    <t>Isabella Mayer</t>
  </si>
  <si>
    <t>Suche Pflegejob mit flexiblen Arbeitszeiten.</t>
  </si>
  <si>
    <t>Philipp Wolf</t>
  </si>
  <si>
    <t>Natalie Becker</t>
  </si>
  <si>
    <t>Pflegekraft sucht neue Möglichkeiten.</t>
  </si>
  <si>
    <t>Simon Richter</t>
  </si>
  <si>
    <t>Vanessa Braun</t>
  </si>
  <si>
    <t>Interesse an Pflegejobs in Hessen.</t>
  </si>
  <si>
    <t>Johannes Maier</t>
  </si>
  <si>
    <t>Pflegefachkraft sucht Vollzeitstelle.</t>
  </si>
  <si>
    <t>Carolin Fischer</t>
  </si>
  <si>
    <t>Ich suche eine Stelle als Pflegekraft.</t>
  </si>
  <si>
    <t>Patrick Schneider</t>
  </si>
  <si>
    <t>Pflegehelfer sucht neue Position.</t>
  </si>
  <si>
    <t>Melina Vogt</t>
  </si>
  <si>
    <t>Interesse an Pflegejobs in Thüringen.</t>
  </si>
  <si>
    <t>Eric Neumann</t>
  </si>
  <si>
    <t>vanessa</t>
  </si>
  <si>
    <t>Hallo Vanessa, dies  ist ein test</t>
  </si>
  <si>
    <t xml:space="preserve">Chaptchet </t>
  </si>
  <si>
    <t xml:space="preserve">Bioinformatikerin </t>
  </si>
  <si>
    <t>Tchapda</t>
  </si>
  <si>
    <t>Biologie</t>
  </si>
  <si>
    <t>Lena Fischer</t>
  </si>
  <si>
    <t>Maximilian Braun</t>
  </si>
  <si>
    <t>Erfahrener Pflegehelfer sucht Vollzeitstelle.</t>
  </si>
  <si>
    <t>Sophie Keller</t>
  </si>
  <si>
    <t>Ich interessiere mich für eine Pflegeposition.</t>
  </si>
  <si>
    <t>Emma Hoffmann</t>
  </si>
  <si>
    <t>Pflegehelferin mit Schichtbereitschaft.</t>
  </si>
  <si>
    <t>Noah Richter</t>
  </si>
  <si>
    <t>Suche neue Herausforderung im Pflegebereich.</t>
  </si>
  <si>
    <t>Mia Lehmann</t>
  </si>
  <si>
    <t>Pflegekraft mit Altenpflege Erfahrung.</t>
  </si>
  <si>
    <t>Leon Kaenig</t>
  </si>
  <si>
    <t>Ich suche einen Job als Pflegehelfer.</t>
  </si>
  <si>
    <t>Hannah Schmitt</t>
  </si>
  <si>
    <t>Paul Wagner</t>
  </si>
  <si>
    <t>Laura Neumann</t>
  </si>
  <si>
    <t>Finn Schwarz</t>
  </si>
  <si>
    <t>Clara Zimmermann</t>
  </si>
  <si>
    <t>Jonas Kraeger</t>
  </si>
  <si>
    <t>Marie Hartmann</t>
  </si>
  <si>
    <t>Sarah Wolf</t>
  </si>
  <si>
    <t>David Schraeder</t>
  </si>
  <si>
    <t>Lisa Vogel</t>
  </si>
  <si>
    <t>Ben Hartwig</t>
  </si>
  <si>
    <t>Anna Lorenz</t>
  </si>
  <si>
    <t>Elias Busch</t>
  </si>
  <si>
    <t>Julia Frank</t>
  </si>
  <si>
    <t>Niklas Sauer</t>
  </si>
  <si>
    <t>Katharina Otto</t>
  </si>
  <si>
    <t>Moritz Beck</t>
  </si>
  <si>
    <t>Nina Peters</t>
  </si>
  <si>
    <t>Lukas Jaeger</t>
  </si>
  <si>
    <t>Vanessa Scholz</t>
  </si>
  <si>
    <t>Felix Brandt</t>
  </si>
  <si>
    <t>Melina Kuhn</t>
  </si>
  <si>
    <t>Tobias Engel</t>
  </si>
  <si>
    <t>Jana Simon</t>
  </si>
  <si>
    <t>Erik Albrecht</t>
  </si>
  <si>
    <t>Luisa Kraemer</t>
  </si>
  <si>
    <t>Patrick Seidel</t>
  </si>
  <si>
    <t>Selina Maurer</t>
  </si>
  <si>
    <t>Marvin Dietrich</t>
  </si>
  <si>
    <t>Alina Winter</t>
  </si>
  <si>
    <t>Fabian Kaiser</t>
  </si>
  <si>
    <t>Theresa Schulz</t>
  </si>
  <si>
    <t>Kevin Roth</t>
  </si>
  <si>
    <t>Michelle Werner</t>
  </si>
  <si>
    <t>Jan Fuchs</t>
  </si>
  <si>
    <t>Amelie Graf</t>
  </si>
  <si>
    <t>Christopher Meier</t>
  </si>
  <si>
    <t>Sabrina Lang</t>
  </si>
  <si>
    <t>Robin Schulze</t>
  </si>
  <si>
    <t>Eva Berger</t>
  </si>
  <si>
    <t>Marc Heinrich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</si>
</sst>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.m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</row>
    <row r="2">
      <c r="A2" s="1" t="s">
        <v>4</v>
      </c>
      <c r="B2" s="2">
        <f>COUNTA(candidates!A2:A1000)</f>
        <v>105</v>
      </c>
      <c r="D2" s="2" t="str">
        <f t="array" ref="D2:D73">UNIQUE(candidates!C2:C1000)</f>
        <v>Berlin</v>
      </c>
      <c r="E2" s="2">
        <f>COUNTIF(candidates!C:C,D2)</f>
        <v>2</v>
      </c>
    </row>
    <row r="3">
      <c r="A3" s="1" t="s">
        <v>5</v>
      </c>
      <c r="B3" s="2">
        <f>AVERAGE(candidates!B2:B1000)</f>
        <v>30.58095238</v>
      </c>
      <c r="D3" s="2" t="s">
        <v>6</v>
      </c>
      <c r="E3" s="2">
        <f>COUNTIF(candidates!C:C,D3)</f>
        <v>2</v>
      </c>
    </row>
    <row r="4">
      <c r="A4" s="1" t="s">
        <v>7</v>
      </c>
      <c r="B4" s="2">
        <f>COUNTIF(candidates!E2:E1000,"*Pflegekraft*")</f>
        <v>15</v>
      </c>
      <c r="D4" s="2" t="s">
        <v>8</v>
      </c>
      <c r="E4" s="2">
        <f>COUNTIF(candidates!C:C,D4)</f>
        <v>1</v>
      </c>
    </row>
    <row r="5">
      <c r="A5" s="1" t="s">
        <v>9</v>
      </c>
      <c r="B5" s="2">
        <f>COUNTIF(candidates!E2:E1000,"*Pflegehelfer*")</f>
        <v>17</v>
      </c>
      <c r="D5" s="2" t="s">
        <v>10</v>
      </c>
      <c r="E5" s="2">
        <f>COUNTIF(candidates!C:C,D5)</f>
        <v>1</v>
      </c>
    </row>
    <row r="6">
      <c r="A6" s="1" t="s">
        <v>11</v>
      </c>
      <c r="D6" s="2" t="s">
        <v>12</v>
      </c>
      <c r="E6" s="2">
        <f>COUNTIF(candidates!C:C,D6)</f>
        <v>2</v>
      </c>
    </row>
    <row r="7">
      <c r="D7" s="2" t="s">
        <v>13</v>
      </c>
      <c r="E7" s="2">
        <f>COUNTIF(candidates!C:C,D7)</f>
        <v>2</v>
      </c>
    </row>
    <row r="8">
      <c r="D8" s="2" t="s">
        <v>14</v>
      </c>
      <c r="E8" s="2">
        <f>COUNTIF(candidates!C:C,D8)</f>
        <v>1</v>
      </c>
    </row>
    <row r="9">
      <c r="D9" s="2" t="s">
        <v>15</v>
      </c>
      <c r="E9" s="2">
        <f>COUNTIF(candidates!C:C,D9)</f>
        <v>2</v>
      </c>
    </row>
    <row r="10">
      <c r="D10" s="2" t="s">
        <v>16</v>
      </c>
      <c r="E10" s="2">
        <f>COUNTIF(candidates!C:C,D10)</f>
        <v>2</v>
      </c>
    </row>
    <row r="11">
      <c r="D11" s="2" t="s">
        <v>17</v>
      </c>
      <c r="E11" s="2">
        <f>COUNTIF(candidates!C:C,D11)</f>
        <v>2</v>
      </c>
    </row>
    <row r="12">
      <c r="D12" s="2" t="s">
        <v>18</v>
      </c>
      <c r="E12" s="2">
        <f>COUNTIF(candidates!C:C,D12)</f>
        <v>2</v>
      </c>
    </row>
    <row r="13">
      <c r="D13" s="2" t="s">
        <v>19</v>
      </c>
      <c r="E13" s="2">
        <f>COUNTIF(candidates!C:C,D13)</f>
        <v>1</v>
      </c>
    </row>
    <row r="14">
      <c r="D14" s="2" t="s">
        <v>20</v>
      </c>
      <c r="E14" s="2">
        <f>COUNTIF(candidates!C:C,D14)</f>
        <v>2</v>
      </c>
    </row>
    <row r="15">
      <c r="D15" s="2" t="s">
        <v>21</v>
      </c>
      <c r="E15" s="2">
        <f>COUNTIF(candidates!C:C,D15)</f>
        <v>2</v>
      </c>
    </row>
    <row r="16">
      <c r="D16" s="2" t="s">
        <v>22</v>
      </c>
      <c r="E16" s="2">
        <f>COUNTIF(candidates!C:C,D16)</f>
        <v>2</v>
      </c>
    </row>
    <row r="17">
      <c r="D17" s="2" t="s">
        <v>23</v>
      </c>
      <c r="E17" s="2">
        <f>COUNTIF(candidates!C:C,D17)</f>
        <v>2</v>
      </c>
    </row>
    <row r="18">
      <c r="D18" s="2" t="s">
        <v>24</v>
      </c>
      <c r="E18" s="2">
        <f>COUNTIF(candidates!C:C,D18)</f>
        <v>2</v>
      </c>
    </row>
    <row r="19">
      <c r="D19" s="2" t="s">
        <v>25</v>
      </c>
      <c r="E19" s="2">
        <f>COUNTIF(candidates!C:C,D19)</f>
        <v>2</v>
      </c>
    </row>
    <row r="20">
      <c r="D20" s="2" t="s">
        <v>26</v>
      </c>
      <c r="E20" s="2">
        <f>COUNTIF(candidates!C:C,D20)</f>
        <v>2</v>
      </c>
    </row>
    <row r="21">
      <c r="D21" s="2" t="s">
        <v>27</v>
      </c>
      <c r="E21" s="2">
        <f>COUNTIF(candidates!C:C,D21)</f>
        <v>2</v>
      </c>
    </row>
    <row r="22">
      <c r="D22" s="2" t="s">
        <v>28</v>
      </c>
      <c r="E22" s="2">
        <f>COUNTIF(candidates!C:C,D22)</f>
        <v>2</v>
      </c>
    </row>
    <row r="23">
      <c r="D23" s="2" t="s">
        <v>29</v>
      </c>
      <c r="E23" s="2">
        <f>COUNTIF(candidates!C:C,D23)</f>
        <v>2</v>
      </c>
    </row>
    <row r="24">
      <c r="D24" s="2" t="s">
        <v>30</v>
      </c>
      <c r="E24" s="2">
        <f>COUNTIF(candidates!C:C,D24)</f>
        <v>1</v>
      </c>
    </row>
    <row r="25">
      <c r="D25" s="2" t="s">
        <v>31</v>
      </c>
      <c r="E25" s="2">
        <f>COUNTIF(candidates!C:C,D25)</f>
        <v>2</v>
      </c>
    </row>
    <row r="26">
      <c r="D26" s="2" t="s">
        <v>32</v>
      </c>
      <c r="E26" s="2">
        <f>COUNTIF(candidates!C:C,D26)</f>
        <v>2</v>
      </c>
    </row>
    <row r="27">
      <c r="D27" s="2" t="s">
        <v>33</v>
      </c>
      <c r="E27" s="2">
        <f>COUNTIF(candidates!C:C,D27)</f>
        <v>2</v>
      </c>
    </row>
    <row r="28">
      <c r="D28" s="2" t="s">
        <v>34</v>
      </c>
      <c r="E28" s="2">
        <f>COUNTIF(candidates!C:C,D28)</f>
        <v>2</v>
      </c>
    </row>
    <row r="29">
      <c r="D29" s="2" t="s">
        <v>35</v>
      </c>
      <c r="E29" s="2">
        <f>COUNTIF(candidates!C:C,D29)</f>
        <v>2</v>
      </c>
    </row>
    <row r="30">
      <c r="D30" s="2" t="s">
        <v>36</v>
      </c>
      <c r="E30" s="2">
        <f>COUNTIF(candidates!C:C,D30)</f>
        <v>2</v>
      </c>
    </row>
    <row r="31">
      <c r="D31" s="2" t="s">
        <v>37</v>
      </c>
      <c r="E31" s="2">
        <f>COUNTIF(candidates!C:C,D31)</f>
        <v>2</v>
      </c>
    </row>
    <row r="32">
      <c r="D32" s="2" t="s">
        <v>38</v>
      </c>
      <c r="E32" s="2">
        <f>COUNTIF(candidates!C:C,D32)</f>
        <v>2</v>
      </c>
    </row>
    <row r="33">
      <c r="D33" s="2" t="s">
        <v>39</v>
      </c>
      <c r="E33" s="2">
        <f>COUNTIF(candidates!C:C,D33)</f>
        <v>2</v>
      </c>
    </row>
    <row r="34">
      <c r="D34" s="2" t="s">
        <v>40</v>
      </c>
      <c r="E34" s="2">
        <f>COUNTIF(candidates!C:C,D34)</f>
        <v>1</v>
      </c>
    </row>
    <row r="35">
      <c r="D35" s="2" t="s">
        <v>41</v>
      </c>
      <c r="E35" s="2">
        <f>COUNTIF(candidates!C:C,D35)</f>
        <v>2</v>
      </c>
    </row>
    <row r="36">
      <c r="D36" s="2" t="s">
        <v>42</v>
      </c>
      <c r="E36" s="2">
        <f>COUNTIF(candidates!C:C,D36)</f>
        <v>2</v>
      </c>
    </row>
    <row r="37">
      <c r="D37" s="2" t="s">
        <v>43</v>
      </c>
      <c r="E37" s="2">
        <f>COUNTIF(candidates!C:C,D37)</f>
        <v>1</v>
      </c>
    </row>
    <row r="38">
      <c r="D38" s="2" t="s">
        <v>44</v>
      </c>
      <c r="E38" s="2">
        <f>COUNTIF(candidates!C:C,D38)</f>
        <v>2</v>
      </c>
    </row>
    <row r="39">
      <c r="D39" s="2" t="s">
        <v>45</v>
      </c>
      <c r="E39" s="2">
        <f>COUNTIF(candidates!C:C,D39)</f>
        <v>1</v>
      </c>
    </row>
    <row r="40">
      <c r="D40" s="2" t="s">
        <v>46</v>
      </c>
      <c r="E40" s="2">
        <f>COUNTIF(candidates!C:C,D40)</f>
        <v>1</v>
      </c>
    </row>
    <row r="41">
      <c r="D41" s="2" t="s">
        <v>47</v>
      </c>
      <c r="E41" s="2">
        <f>COUNTIF(candidates!C:C,D41)</f>
        <v>2</v>
      </c>
    </row>
    <row r="42">
      <c r="D42" s="2" t="s">
        <v>48</v>
      </c>
      <c r="E42" s="2">
        <f>COUNTIF(candidates!C:C,D42)</f>
        <v>2</v>
      </c>
    </row>
    <row r="43">
      <c r="D43" s="2" t="s">
        <v>49</v>
      </c>
      <c r="E43" s="2">
        <f>COUNTIF(candidates!C:C,D43)</f>
        <v>1</v>
      </c>
    </row>
    <row r="44">
      <c r="D44" s="2" t="s">
        <v>50</v>
      </c>
      <c r="E44" s="2">
        <f>COUNTIF(candidates!C:C,D44)</f>
        <v>1</v>
      </c>
    </row>
    <row r="45">
      <c r="D45" s="2" t="s">
        <v>51</v>
      </c>
      <c r="E45" s="2">
        <f>COUNTIF(candidates!C:C,D45)</f>
        <v>1</v>
      </c>
    </row>
    <row r="46">
      <c r="D46" s="2" t="s">
        <v>52</v>
      </c>
      <c r="E46" s="2">
        <f>COUNTIF(candidates!C:C,D46)</f>
        <v>1</v>
      </c>
    </row>
    <row r="47">
      <c r="D47" s="2" t="s">
        <v>53</v>
      </c>
      <c r="E47" s="2">
        <f>COUNTIF(candidates!C:C,D47)</f>
        <v>1</v>
      </c>
    </row>
    <row r="48">
      <c r="D48" s="2" t="s">
        <v>54</v>
      </c>
      <c r="E48" s="2">
        <f>COUNTIF(candidates!C:C,D48)</f>
        <v>1</v>
      </c>
    </row>
    <row r="49">
      <c r="D49" s="2" t="s">
        <v>55</v>
      </c>
      <c r="E49" s="2">
        <f>COUNTIF(candidates!C:C,D49)</f>
        <v>1</v>
      </c>
    </row>
    <row r="50">
      <c r="D50" s="2" t="s">
        <v>56</v>
      </c>
      <c r="E50" s="2">
        <f>COUNTIF(candidates!C:C,D50)</f>
        <v>1</v>
      </c>
    </row>
    <row r="51">
      <c r="D51" s="2" t="s">
        <v>57</v>
      </c>
      <c r="E51" s="2">
        <f>COUNTIF(candidates!C:C,D51)</f>
        <v>1</v>
      </c>
    </row>
    <row r="52">
      <c r="D52" s="2" t="s">
        <v>58</v>
      </c>
      <c r="E52" s="2">
        <f>COUNTIF(candidates!C:C,D52)</f>
        <v>1</v>
      </c>
    </row>
    <row r="53">
      <c r="D53" s="2" t="s">
        <v>59</v>
      </c>
      <c r="E53" s="2">
        <f>COUNTIF(candidates!C:C,D53)</f>
        <v>3</v>
      </c>
    </row>
    <row r="54">
      <c r="D54" s="2" t="s">
        <v>60</v>
      </c>
      <c r="E54" s="2">
        <f>COUNTIF(candidates!C:C,D54)</f>
        <v>1</v>
      </c>
    </row>
    <row r="55">
      <c r="D55" s="2" t="s">
        <v>61</v>
      </c>
      <c r="E55" s="2">
        <f>COUNTIF(candidates!C:C,D55)</f>
        <v>1</v>
      </c>
    </row>
    <row r="56">
      <c r="D56" s="2" t="s">
        <v>62</v>
      </c>
      <c r="E56" s="2">
        <f>COUNTIF(candidates!C:C,D56)</f>
        <v>1</v>
      </c>
    </row>
    <row r="57">
      <c r="D57" s="2" t="s">
        <v>63</v>
      </c>
      <c r="E57" s="2">
        <f>COUNTIF(candidates!C:C,D57)</f>
        <v>1</v>
      </c>
    </row>
    <row r="58">
      <c r="D58" s="2" t="s">
        <v>64</v>
      </c>
      <c r="E58" s="2">
        <f>COUNTIF(candidates!C:C,D58)</f>
        <v>1</v>
      </c>
    </row>
    <row r="59">
      <c r="D59" s="2" t="s">
        <v>65</v>
      </c>
      <c r="E59" s="2">
        <f>COUNTIF(candidates!C:C,D59)</f>
        <v>1</v>
      </c>
    </row>
    <row r="60">
      <c r="D60" s="2" t="s">
        <v>66</v>
      </c>
      <c r="E60" s="2">
        <f>COUNTIF(candidates!C:C,D60)</f>
        <v>1</v>
      </c>
    </row>
    <row r="61">
      <c r="D61" s="2" t="s">
        <v>67</v>
      </c>
      <c r="E61" s="2">
        <f>COUNTIF(candidates!C:C,D61)</f>
        <v>1</v>
      </c>
    </row>
    <row r="62">
      <c r="D62" s="2" t="s">
        <v>68</v>
      </c>
      <c r="E62" s="2">
        <f>COUNTIF(candidates!C:C,D62)</f>
        <v>1</v>
      </c>
    </row>
    <row r="63">
      <c r="D63" s="2" t="s">
        <v>69</v>
      </c>
      <c r="E63" s="2">
        <f>COUNTIF(candidates!C:C,D63)</f>
        <v>1</v>
      </c>
    </row>
    <row r="64">
      <c r="D64" s="2" t="s">
        <v>70</v>
      </c>
      <c r="E64" s="2">
        <f>COUNTIF(candidates!C:C,D64)</f>
        <v>1</v>
      </c>
    </row>
    <row r="65">
      <c r="D65" s="2" t="s">
        <v>71</v>
      </c>
      <c r="E65" s="2">
        <f>COUNTIF(candidates!C:C,D65)</f>
        <v>1</v>
      </c>
    </row>
    <row r="66">
      <c r="D66" s="2" t="s">
        <v>72</v>
      </c>
      <c r="E66" s="2">
        <f>COUNTIF(candidates!C:C,D66)</f>
        <v>1</v>
      </c>
    </row>
    <row r="67">
      <c r="D67" s="2" t="s">
        <v>73</v>
      </c>
      <c r="E67" s="2">
        <f>COUNTIF(candidates!C:C,D67)</f>
        <v>1</v>
      </c>
    </row>
    <row r="68">
      <c r="D68" s="2" t="s">
        <v>74</v>
      </c>
      <c r="E68" s="2">
        <f>COUNTIF(candidates!C:C,D68)</f>
        <v>1</v>
      </c>
    </row>
    <row r="69">
      <c r="D69" s="2" t="s">
        <v>75</v>
      </c>
      <c r="E69" s="2">
        <f>COUNTIF(candidates!C:C,D69)</f>
        <v>1</v>
      </c>
    </row>
    <row r="70">
      <c r="D70" s="2" t="s">
        <v>76</v>
      </c>
      <c r="E70" s="2">
        <f>COUNTIF(candidates!C:C,D70)</f>
        <v>1</v>
      </c>
    </row>
    <row r="71">
      <c r="D71" s="2" t="s">
        <v>77</v>
      </c>
      <c r="E71" s="2">
        <f>COUNTIF(candidates!C:C,D71)</f>
        <v>1</v>
      </c>
    </row>
    <row r="72">
      <c r="D72" s="2" t="s">
        <v>78</v>
      </c>
      <c r="E72" s="2">
        <f>COUNTIF(candidates!C:C,D72)</f>
        <v>1</v>
      </c>
    </row>
    <row r="73">
      <c r="D7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84</v>
      </c>
      <c r="B2" s="4">
        <v>28.0</v>
      </c>
      <c r="C2" s="3" t="s">
        <v>85</v>
      </c>
      <c r="D2" s="5">
        <v>46174.0</v>
      </c>
      <c r="E2" s="3" t="s">
        <v>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87</v>
      </c>
      <c r="B3" s="4">
        <v>35.0</v>
      </c>
      <c r="C3" s="3" t="s">
        <v>6</v>
      </c>
      <c r="D3" s="5">
        <v>46157.0</v>
      </c>
      <c r="E3" s="3" t="s">
        <v>88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89</v>
      </c>
      <c r="B4" s="4">
        <v>24.0</v>
      </c>
      <c r="C4" s="3" t="s">
        <v>8</v>
      </c>
      <c r="D4" s="5">
        <v>46204.0</v>
      </c>
      <c r="E4" s="3" t="s">
        <v>90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91</v>
      </c>
      <c r="B5" s="4">
        <v>31.0</v>
      </c>
      <c r="C5" s="3" t="s">
        <v>10</v>
      </c>
      <c r="D5" s="5">
        <v>46183.0</v>
      </c>
      <c r="E5" s="3" t="s">
        <v>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93</v>
      </c>
      <c r="B6" s="4">
        <v>40.0</v>
      </c>
      <c r="C6" s="3" t="s">
        <v>12</v>
      </c>
      <c r="D6" s="5">
        <v>46162.0</v>
      </c>
      <c r="E6" s="6" t="s">
        <v>94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95</v>
      </c>
      <c r="B7" s="4">
        <v>27.0</v>
      </c>
      <c r="C7" s="3" t="s">
        <v>13</v>
      </c>
      <c r="D7" s="5">
        <v>46178.0</v>
      </c>
      <c r="E7" s="6" t="s">
        <v>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97</v>
      </c>
      <c r="B8" s="4">
        <v>33.0</v>
      </c>
      <c r="C8" s="3" t="s">
        <v>14</v>
      </c>
      <c r="D8" s="5">
        <v>46218.0</v>
      </c>
      <c r="E8" s="6" t="s">
        <v>98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99</v>
      </c>
      <c r="B9" s="4">
        <v>29.0</v>
      </c>
      <c r="C9" s="3" t="s">
        <v>15</v>
      </c>
      <c r="D9" s="5">
        <v>46174.0</v>
      </c>
      <c r="E9" s="6" t="s">
        <v>100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101</v>
      </c>
      <c r="B10" s="4">
        <v>26.0</v>
      </c>
      <c r="C10" s="3" t="s">
        <v>16</v>
      </c>
      <c r="D10" s="5">
        <v>46167.0</v>
      </c>
      <c r="E10" s="6" t="s">
        <v>102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103</v>
      </c>
      <c r="B11" s="4">
        <v>30.0</v>
      </c>
      <c r="C11" s="3" t="s">
        <v>17</v>
      </c>
      <c r="D11" s="5">
        <v>46191.0</v>
      </c>
      <c r="E11" s="6" t="s">
        <v>104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105</v>
      </c>
      <c r="B12" s="4">
        <v>38.0</v>
      </c>
      <c r="C12" s="3" t="s">
        <v>18</v>
      </c>
      <c r="D12" s="5">
        <v>46204.0</v>
      </c>
      <c r="E12" s="6" t="s">
        <v>106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107</v>
      </c>
      <c r="B13" s="4">
        <v>25.0</v>
      </c>
      <c r="C13" s="3" t="s">
        <v>19</v>
      </c>
      <c r="D13" s="5">
        <v>46185.0</v>
      </c>
      <c r="E13" s="6" t="s">
        <v>108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109</v>
      </c>
      <c r="B14" s="4">
        <v>41.0</v>
      </c>
      <c r="C14" s="3" t="s">
        <v>20</v>
      </c>
      <c r="D14" s="5">
        <v>46172.0</v>
      </c>
      <c r="E14" s="6" t="s">
        <v>110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111</v>
      </c>
      <c r="B15" s="4">
        <v>23.0</v>
      </c>
      <c r="C15" s="3" t="s">
        <v>21</v>
      </c>
      <c r="D15" s="5">
        <v>46213.0</v>
      </c>
      <c r="E15" s="6" t="s">
        <v>112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113</v>
      </c>
      <c r="B16" s="4">
        <v>36.0</v>
      </c>
      <c r="C16" s="3" t="s">
        <v>22</v>
      </c>
      <c r="D16" s="5">
        <v>46193.0</v>
      </c>
      <c r="E16" s="6" t="s">
        <v>114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115</v>
      </c>
      <c r="B17" s="4">
        <v>32.0</v>
      </c>
      <c r="C17" s="3" t="s">
        <v>23</v>
      </c>
      <c r="D17" s="5">
        <v>46170.0</v>
      </c>
      <c r="E17" s="6" t="s">
        <v>116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117</v>
      </c>
      <c r="B18" s="4">
        <v>34.0</v>
      </c>
      <c r="C18" s="3" t="s">
        <v>24</v>
      </c>
      <c r="D18" s="5">
        <v>46188.0</v>
      </c>
      <c r="E18" s="6" t="s">
        <v>118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119</v>
      </c>
      <c r="B19" s="4">
        <v>27.0</v>
      </c>
      <c r="C19" s="3" t="s">
        <v>25</v>
      </c>
      <c r="D19" s="5">
        <v>46208.0</v>
      </c>
      <c r="E19" s="6" t="s">
        <v>120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121</v>
      </c>
      <c r="B20" s="4">
        <v>39.0</v>
      </c>
      <c r="C20" s="3" t="s">
        <v>26</v>
      </c>
      <c r="D20" s="5">
        <v>46174.0</v>
      </c>
      <c r="E20" s="6" t="s">
        <v>122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123</v>
      </c>
      <c r="B21" s="4">
        <v>26.0</v>
      </c>
      <c r="C21" s="3" t="s">
        <v>27</v>
      </c>
      <c r="D21" s="5">
        <v>46164.0</v>
      </c>
      <c r="E21" s="6" t="s">
        <v>124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125</v>
      </c>
      <c r="B22" s="4">
        <v>37.0</v>
      </c>
      <c r="C22" s="3" t="s">
        <v>28</v>
      </c>
      <c r="D22" s="5">
        <v>46181.0</v>
      </c>
      <c r="E22" s="6" t="s">
        <v>126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127</v>
      </c>
      <c r="B23" s="4">
        <v>24.0</v>
      </c>
      <c r="C23" s="3" t="s">
        <v>29</v>
      </c>
      <c r="D23" s="5">
        <v>46204.0</v>
      </c>
      <c r="E23" s="6" t="s">
        <v>128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129</v>
      </c>
      <c r="B24" s="4">
        <v>31.0</v>
      </c>
      <c r="C24" s="3" t="s">
        <v>30</v>
      </c>
      <c r="D24" s="5">
        <v>46184.0</v>
      </c>
      <c r="E24" s="6" t="s">
        <v>130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131</v>
      </c>
      <c r="B25" s="4">
        <v>29.0</v>
      </c>
      <c r="C25" s="3" t="s">
        <v>31</v>
      </c>
      <c r="D25" s="5">
        <v>46168.0</v>
      </c>
      <c r="E25" s="6" t="s">
        <v>132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133</v>
      </c>
      <c r="B26" s="4">
        <v>42.0</v>
      </c>
      <c r="C26" s="3" t="s">
        <v>32</v>
      </c>
      <c r="D26" s="5">
        <v>46192.0</v>
      </c>
      <c r="E26" s="6" t="s">
        <v>134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135</v>
      </c>
      <c r="B27" s="4">
        <v>28.0</v>
      </c>
      <c r="C27" s="3" t="s">
        <v>33</v>
      </c>
      <c r="D27" s="5">
        <v>46206.0</v>
      </c>
      <c r="E27" s="6" t="s">
        <v>136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137</v>
      </c>
      <c r="B28" s="4">
        <v>33.0</v>
      </c>
      <c r="C28" s="3" t="s">
        <v>34</v>
      </c>
      <c r="D28" s="5">
        <v>46187.0</v>
      </c>
      <c r="E28" s="6" t="s">
        <v>138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139</v>
      </c>
      <c r="B29" s="4">
        <v>25.0</v>
      </c>
      <c r="C29" s="3" t="s">
        <v>35</v>
      </c>
      <c r="D29" s="5">
        <v>46171.0</v>
      </c>
      <c r="E29" s="6" t="s">
        <v>140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141</v>
      </c>
      <c r="B30" s="4">
        <v>35.0</v>
      </c>
      <c r="C30" s="3" t="s">
        <v>36</v>
      </c>
      <c r="D30" s="5">
        <v>46198.0</v>
      </c>
      <c r="E30" s="6" t="s">
        <v>98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142</v>
      </c>
      <c r="B31" s="4">
        <v>27.0</v>
      </c>
      <c r="C31" s="3" t="s">
        <v>37</v>
      </c>
      <c r="D31" s="5">
        <v>46211.0</v>
      </c>
      <c r="E31" s="6" t="s">
        <v>143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144</v>
      </c>
      <c r="B32" s="4">
        <v>30.0</v>
      </c>
      <c r="C32" s="3" t="s">
        <v>38</v>
      </c>
      <c r="D32" s="5">
        <v>46190.0</v>
      </c>
      <c r="E32" s="6" t="s">
        <v>145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146</v>
      </c>
      <c r="B33" s="4">
        <v>26.0</v>
      </c>
      <c r="C33" s="3" t="s">
        <v>39</v>
      </c>
      <c r="D33" s="5">
        <v>46173.0</v>
      </c>
      <c r="E33" s="6" t="s">
        <v>147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148</v>
      </c>
      <c r="B34" s="4">
        <v>34.0</v>
      </c>
      <c r="C34" s="3" t="s">
        <v>40</v>
      </c>
      <c r="D34" s="5">
        <v>46194.0</v>
      </c>
      <c r="E34" s="6" t="s">
        <v>149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150</v>
      </c>
      <c r="B35" s="4">
        <v>22.0</v>
      </c>
      <c r="C35" s="3" t="s">
        <v>41</v>
      </c>
      <c r="D35" s="5">
        <v>46215.0</v>
      </c>
      <c r="E35" s="6" t="s">
        <v>151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152</v>
      </c>
      <c r="B36" s="4">
        <v>43.0</v>
      </c>
      <c r="C36" s="3" t="s">
        <v>42</v>
      </c>
      <c r="D36" s="5">
        <v>46175.0</v>
      </c>
      <c r="E36" s="6" t="s">
        <v>153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154</v>
      </c>
      <c r="B37" s="4">
        <v>29.0</v>
      </c>
      <c r="C37" s="3" t="s">
        <v>43</v>
      </c>
      <c r="D37" s="5">
        <v>46169.0</v>
      </c>
      <c r="E37" s="6" t="s">
        <v>155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156</v>
      </c>
      <c r="B38" s="4">
        <v>31.0</v>
      </c>
      <c r="C38" s="3" t="s">
        <v>44</v>
      </c>
      <c r="D38" s="5">
        <v>46182.0</v>
      </c>
      <c r="E38" s="6" t="s">
        <v>157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158</v>
      </c>
      <c r="B39" s="4">
        <v>24.0</v>
      </c>
      <c r="C39" s="3" t="s">
        <v>45</v>
      </c>
      <c r="D39" s="5">
        <v>46209.0</v>
      </c>
      <c r="E39" s="6" t="s">
        <v>159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160</v>
      </c>
      <c r="B40" s="4">
        <v>38.0</v>
      </c>
      <c r="C40" s="3" t="s">
        <v>46</v>
      </c>
      <c r="D40" s="5">
        <v>46186.0</v>
      </c>
      <c r="E40" s="6" t="s">
        <v>110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161</v>
      </c>
      <c r="B41" s="4">
        <v>27.0</v>
      </c>
      <c r="C41" s="3" t="s">
        <v>47</v>
      </c>
      <c r="D41" s="5">
        <v>46166.0</v>
      </c>
      <c r="E41" s="6" t="s">
        <v>120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162</v>
      </c>
      <c r="B42" s="4">
        <v>36.0</v>
      </c>
      <c r="C42" s="3" t="s">
        <v>48</v>
      </c>
      <c r="D42" s="5">
        <v>46201.0</v>
      </c>
      <c r="E42" s="6" t="s">
        <v>163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164</v>
      </c>
      <c r="B43" s="4">
        <v>25.0</v>
      </c>
      <c r="C43" s="3" t="s">
        <v>49</v>
      </c>
      <c r="D43" s="5">
        <v>46207.0</v>
      </c>
      <c r="E43" s="6" t="s">
        <v>165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166</v>
      </c>
      <c r="B44" s="4">
        <v>32.0</v>
      </c>
      <c r="C44" s="3" t="s">
        <v>50</v>
      </c>
      <c r="D44" s="5">
        <v>46180.0</v>
      </c>
      <c r="E44" s="6" t="s">
        <v>98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167</v>
      </c>
      <c r="B45" s="4">
        <v>28.0</v>
      </c>
      <c r="C45" s="3" t="s">
        <v>51</v>
      </c>
      <c r="D45" s="5">
        <v>46163.0</v>
      </c>
      <c r="E45" s="6" t="s">
        <v>168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169</v>
      </c>
      <c r="B46" s="4">
        <v>40.0</v>
      </c>
      <c r="C46" s="3" t="s">
        <v>52</v>
      </c>
      <c r="D46" s="5">
        <v>46189.0</v>
      </c>
      <c r="E46" s="6" t="s">
        <v>126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170</v>
      </c>
      <c r="B47" s="4">
        <v>23.0</v>
      </c>
      <c r="C47" s="3" t="s">
        <v>53</v>
      </c>
      <c r="D47" s="5">
        <v>46212.0</v>
      </c>
      <c r="E47" s="6" t="s">
        <v>171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172</v>
      </c>
      <c r="B48" s="4">
        <v>35.0</v>
      </c>
      <c r="C48" s="3" t="s">
        <v>54</v>
      </c>
      <c r="D48" s="5">
        <v>46176.0</v>
      </c>
      <c r="E48" s="6" t="s">
        <v>173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174</v>
      </c>
      <c r="B49" s="4">
        <v>26.0</v>
      </c>
      <c r="C49" s="3" t="s">
        <v>55</v>
      </c>
      <c r="D49" s="5">
        <v>46165.0</v>
      </c>
      <c r="E49" s="6" t="s">
        <v>175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176</v>
      </c>
      <c r="B50" s="4">
        <v>37.0</v>
      </c>
      <c r="C50" s="3" t="s">
        <v>56</v>
      </c>
      <c r="D50" s="5">
        <v>46197.0</v>
      </c>
      <c r="E50" s="6" t="s">
        <v>177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178</v>
      </c>
      <c r="B51" s="4">
        <v>24.0</v>
      </c>
      <c r="C51" s="3" t="s">
        <v>57</v>
      </c>
      <c r="D51" s="5">
        <v>46205.0</v>
      </c>
      <c r="E51" s="6" t="s">
        <v>179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180</v>
      </c>
      <c r="B52" s="4">
        <v>33.0</v>
      </c>
      <c r="C52" s="3" t="s">
        <v>58</v>
      </c>
      <c r="D52" s="5">
        <v>46191.0</v>
      </c>
      <c r="E52" s="6" t="s">
        <v>98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181</v>
      </c>
      <c r="B53" s="4">
        <v>29.0</v>
      </c>
      <c r="C53" s="3" t="s">
        <v>59</v>
      </c>
      <c r="D53" s="5">
        <v>46193.0</v>
      </c>
      <c r="E53" s="6" t="s">
        <v>182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 t="s">
        <v>183</v>
      </c>
      <c r="B54" s="8">
        <v>30.0</v>
      </c>
      <c r="C54" s="7" t="s">
        <v>59</v>
      </c>
      <c r="D54" s="5">
        <v>46198.0</v>
      </c>
      <c r="E54" s="6" t="s">
        <v>184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9" t="s">
        <v>185</v>
      </c>
      <c r="B55" s="9">
        <v>29.0</v>
      </c>
      <c r="C55" s="10" t="s">
        <v>59</v>
      </c>
      <c r="D55" s="11">
        <v>46197.0</v>
      </c>
      <c r="E55" s="10" t="s">
        <v>186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9" t="s">
        <v>183</v>
      </c>
      <c r="B56" s="9">
        <v>50.0</v>
      </c>
      <c r="C56" s="10" t="s">
        <v>60</v>
      </c>
      <c r="D56" s="11">
        <v>46193.0</v>
      </c>
      <c r="E56" s="10" t="s">
        <v>186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" t="s">
        <v>187</v>
      </c>
      <c r="B57" s="13">
        <v>24.0</v>
      </c>
      <c r="C57" s="12" t="s">
        <v>85</v>
      </c>
      <c r="D57" s="14">
        <v>46174.0</v>
      </c>
      <c r="E57" s="12" t="s">
        <v>175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2" t="s">
        <v>188</v>
      </c>
      <c r="B58" s="13">
        <v>31.0</v>
      </c>
      <c r="C58" s="12" t="s">
        <v>6</v>
      </c>
      <c r="D58" s="14">
        <v>46176.0</v>
      </c>
      <c r="E58" s="12" t="s">
        <v>189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" t="s">
        <v>190</v>
      </c>
      <c r="B59" s="13">
        <v>27.0</v>
      </c>
      <c r="C59" s="12" t="s">
        <v>61</v>
      </c>
      <c r="D59" s="14">
        <v>46178.0</v>
      </c>
      <c r="E59" s="12" t="s">
        <v>138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 t="s">
        <v>97</v>
      </c>
      <c r="B60" s="13">
        <v>35.0</v>
      </c>
      <c r="C60" s="12" t="s">
        <v>62</v>
      </c>
      <c r="D60" s="14">
        <v>46180.0</v>
      </c>
      <c r="E60" s="12" t="s">
        <v>191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 t="s">
        <v>192</v>
      </c>
      <c r="B61" s="13">
        <v>29.0</v>
      </c>
      <c r="C61" s="12" t="s">
        <v>12</v>
      </c>
      <c r="D61" s="15">
        <v>46183.0</v>
      </c>
      <c r="E61" s="12" t="s">
        <v>193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2" t="s">
        <v>194</v>
      </c>
      <c r="B62" s="13">
        <v>26.0</v>
      </c>
      <c r="C62" s="12" t="s">
        <v>13</v>
      </c>
      <c r="D62" s="15">
        <v>46184.0</v>
      </c>
      <c r="E62" s="12" t="s">
        <v>195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2" t="s">
        <v>196</v>
      </c>
      <c r="B63" s="13">
        <v>32.0</v>
      </c>
      <c r="C63" s="12" t="s">
        <v>63</v>
      </c>
      <c r="D63" s="14">
        <v>46185.0</v>
      </c>
      <c r="E63" s="12" t="s">
        <v>197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2" t="s">
        <v>198</v>
      </c>
      <c r="B64" s="13">
        <v>30.0</v>
      </c>
      <c r="C64" s="12" t="s">
        <v>16</v>
      </c>
      <c r="D64" s="15">
        <v>46187.0</v>
      </c>
      <c r="E64" s="12" t="s">
        <v>199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2" t="s">
        <v>200</v>
      </c>
      <c r="B65" s="13">
        <v>25.0</v>
      </c>
      <c r="C65" s="12" t="s">
        <v>21</v>
      </c>
      <c r="D65" s="15">
        <v>46188.0</v>
      </c>
      <c r="E65" s="3" t="s">
        <v>83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2" t="s">
        <v>201</v>
      </c>
      <c r="B66" s="13">
        <v>33.0</v>
      </c>
      <c r="C66" s="12" t="s">
        <v>17</v>
      </c>
      <c r="D66" s="15">
        <v>46189.0</v>
      </c>
      <c r="E66" s="3" t="s">
        <v>86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2" t="s">
        <v>202</v>
      </c>
      <c r="B67" s="13">
        <v>28.0</v>
      </c>
      <c r="C67" s="12" t="s">
        <v>15</v>
      </c>
      <c r="D67" s="15">
        <v>46190.0</v>
      </c>
      <c r="E67" s="3" t="s">
        <v>88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" t="s">
        <v>203</v>
      </c>
      <c r="B68" s="13">
        <v>36.0</v>
      </c>
      <c r="C68" s="12" t="s">
        <v>18</v>
      </c>
      <c r="D68" s="15">
        <v>46191.0</v>
      </c>
      <c r="E68" s="3" t="s">
        <v>90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2" t="s">
        <v>204</v>
      </c>
      <c r="B69" s="13">
        <v>27.0</v>
      </c>
      <c r="C69" s="12" t="s">
        <v>20</v>
      </c>
      <c r="D69" s="15">
        <v>46192.0</v>
      </c>
      <c r="E69" s="3" t="s">
        <v>92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" t="s">
        <v>205</v>
      </c>
      <c r="B70" s="13">
        <v>29.0</v>
      </c>
      <c r="C70" s="12" t="s">
        <v>64</v>
      </c>
      <c r="D70" s="15">
        <v>46193.0</v>
      </c>
      <c r="E70" s="6" t="s">
        <v>94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" t="s">
        <v>206</v>
      </c>
      <c r="B71" s="13">
        <v>31.0</v>
      </c>
      <c r="C71" s="12" t="s">
        <v>65</v>
      </c>
      <c r="D71" s="15">
        <v>46194.0</v>
      </c>
      <c r="E71" s="6" t="s">
        <v>96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" t="s">
        <v>125</v>
      </c>
      <c r="B72" s="13">
        <v>26.0</v>
      </c>
      <c r="C72" s="12" t="s">
        <v>23</v>
      </c>
      <c r="D72" s="15">
        <v>46195.0</v>
      </c>
      <c r="E72" s="6" t="s">
        <v>98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2" t="s">
        <v>207</v>
      </c>
      <c r="B73" s="13">
        <v>30.0</v>
      </c>
      <c r="C73" s="12" t="s">
        <v>24</v>
      </c>
      <c r="D73" s="15">
        <v>46196.0</v>
      </c>
      <c r="E73" s="6" t="s">
        <v>100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" t="s">
        <v>208</v>
      </c>
      <c r="B74" s="13">
        <v>34.0</v>
      </c>
      <c r="C74" s="12" t="s">
        <v>25</v>
      </c>
      <c r="D74" s="15">
        <v>46197.0</v>
      </c>
      <c r="E74" s="6" t="s">
        <v>102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2" t="s">
        <v>209</v>
      </c>
      <c r="B75" s="13">
        <v>28.0</v>
      </c>
      <c r="C75" s="12" t="s">
        <v>22</v>
      </c>
      <c r="D75" s="15">
        <v>46198.0</v>
      </c>
      <c r="E75" s="6" t="s">
        <v>104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" t="s">
        <v>210</v>
      </c>
      <c r="B76" s="13">
        <v>37.0</v>
      </c>
      <c r="C76" s="12" t="s">
        <v>66</v>
      </c>
      <c r="D76" s="15">
        <v>46199.0</v>
      </c>
      <c r="E76" s="6" t="s">
        <v>106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" t="s">
        <v>211</v>
      </c>
      <c r="B77" s="13">
        <v>25.0</v>
      </c>
      <c r="C77" s="12" t="s">
        <v>67</v>
      </c>
      <c r="D77" s="15">
        <v>46200.0</v>
      </c>
      <c r="E77" s="6" t="s">
        <v>108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" t="s">
        <v>212</v>
      </c>
      <c r="B78" s="13">
        <v>29.0</v>
      </c>
      <c r="C78" s="12" t="s">
        <v>26</v>
      </c>
      <c r="D78" s="15">
        <v>46201.0</v>
      </c>
      <c r="E78" s="6" t="s">
        <v>110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2" t="s">
        <v>213</v>
      </c>
      <c r="B79" s="13">
        <v>32.0</v>
      </c>
      <c r="C79" s="12" t="s">
        <v>27</v>
      </c>
      <c r="D79" s="15">
        <v>46202.0</v>
      </c>
      <c r="E79" s="6" t="s">
        <v>112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" t="s">
        <v>214</v>
      </c>
      <c r="B80" s="13">
        <v>27.0</v>
      </c>
      <c r="C80" s="12" t="s">
        <v>28</v>
      </c>
      <c r="D80" s="15">
        <v>46203.0</v>
      </c>
      <c r="E80" s="6" t="s">
        <v>114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" t="s">
        <v>215</v>
      </c>
      <c r="B81" s="13">
        <v>30.0</v>
      </c>
      <c r="C81" s="12" t="s">
        <v>29</v>
      </c>
      <c r="D81" s="15">
        <v>46204.0</v>
      </c>
      <c r="E81" s="6" t="s">
        <v>116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" t="s">
        <v>216</v>
      </c>
      <c r="B82" s="13">
        <v>35.0</v>
      </c>
      <c r="C82" s="12" t="s">
        <v>68</v>
      </c>
      <c r="D82" s="15">
        <v>46205.0</v>
      </c>
      <c r="E82" s="6" t="s">
        <v>118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" t="s">
        <v>217</v>
      </c>
      <c r="B83" s="13">
        <v>26.0</v>
      </c>
      <c r="C83" s="12" t="s">
        <v>31</v>
      </c>
      <c r="D83" s="15">
        <v>46206.0</v>
      </c>
      <c r="E83" s="6" t="s">
        <v>120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" t="s">
        <v>218</v>
      </c>
      <c r="B84" s="13">
        <v>31.0</v>
      </c>
      <c r="C84" s="12" t="s">
        <v>32</v>
      </c>
      <c r="D84" s="15">
        <v>46207.0</v>
      </c>
      <c r="E84" s="6" t="s">
        <v>122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" t="s">
        <v>219</v>
      </c>
      <c r="B85" s="13">
        <v>28.0</v>
      </c>
      <c r="C85" s="12" t="s">
        <v>33</v>
      </c>
      <c r="D85" s="15">
        <v>46208.0</v>
      </c>
      <c r="E85" s="6" t="s">
        <v>124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2" t="s">
        <v>220</v>
      </c>
      <c r="B86" s="13">
        <v>33.0</v>
      </c>
      <c r="C86" s="12" t="s">
        <v>34</v>
      </c>
      <c r="D86" s="15">
        <v>46209.0</v>
      </c>
      <c r="E86" s="6" t="s">
        <v>126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2" t="s">
        <v>221</v>
      </c>
      <c r="B87" s="13">
        <v>24.0</v>
      </c>
      <c r="C87" s="12" t="s">
        <v>35</v>
      </c>
      <c r="D87" s="15">
        <v>46210.0</v>
      </c>
      <c r="E87" s="6" t="s">
        <v>128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" t="s">
        <v>222</v>
      </c>
      <c r="B88" s="13">
        <v>36.0</v>
      </c>
      <c r="C88" s="12" t="s">
        <v>36</v>
      </c>
      <c r="D88" s="15">
        <v>46211.0</v>
      </c>
      <c r="E88" s="6" t="s">
        <v>130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2" t="s">
        <v>223</v>
      </c>
      <c r="B89" s="13">
        <v>29.0</v>
      </c>
      <c r="C89" s="12" t="s">
        <v>37</v>
      </c>
      <c r="D89" s="15">
        <v>46212.0</v>
      </c>
      <c r="E89" s="6" t="s">
        <v>132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2" t="s">
        <v>224</v>
      </c>
      <c r="B90" s="13">
        <v>34.0</v>
      </c>
      <c r="C90" s="12" t="s">
        <v>69</v>
      </c>
      <c r="D90" s="15">
        <v>46213.0</v>
      </c>
      <c r="E90" s="6" t="s">
        <v>134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2" t="s">
        <v>225</v>
      </c>
      <c r="B91" s="13">
        <v>27.0</v>
      </c>
      <c r="C91" s="12" t="s">
        <v>70</v>
      </c>
      <c r="D91" s="15">
        <v>46214.0</v>
      </c>
      <c r="E91" s="6" t="s">
        <v>136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2" t="s">
        <v>226</v>
      </c>
      <c r="B92" s="13">
        <v>30.0</v>
      </c>
      <c r="C92" s="12" t="s">
        <v>71</v>
      </c>
      <c r="D92" s="15">
        <v>46215.0</v>
      </c>
      <c r="E92" s="6" t="s">
        <v>138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2" t="s">
        <v>227</v>
      </c>
      <c r="B93" s="13">
        <v>25.0</v>
      </c>
      <c r="C93" s="12" t="s">
        <v>41</v>
      </c>
      <c r="D93" s="15">
        <v>46216.0</v>
      </c>
      <c r="E93" s="6" t="s">
        <v>140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2" t="s">
        <v>228</v>
      </c>
      <c r="B94" s="13">
        <v>32.0</v>
      </c>
      <c r="C94" s="12" t="s">
        <v>42</v>
      </c>
      <c r="D94" s="15">
        <v>46217.0</v>
      </c>
      <c r="E94" s="6" t="s">
        <v>98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2" t="s">
        <v>229</v>
      </c>
      <c r="B95" s="13">
        <v>28.0</v>
      </c>
      <c r="C95" s="12" t="s">
        <v>38</v>
      </c>
      <c r="D95" s="15">
        <v>46218.0</v>
      </c>
      <c r="E95" s="6" t="s">
        <v>143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2" t="s">
        <v>230</v>
      </c>
      <c r="B96" s="13">
        <v>37.0</v>
      </c>
      <c r="C96" s="12" t="s">
        <v>39</v>
      </c>
      <c r="D96" s="15">
        <v>46219.0</v>
      </c>
      <c r="E96" s="6" t="s">
        <v>145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2" t="s">
        <v>231</v>
      </c>
      <c r="B97" s="13">
        <v>26.0</v>
      </c>
      <c r="C97" s="12" t="s">
        <v>72</v>
      </c>
      <c r="D97" s="15">
        <v>46220.0</v>
      </c>
      <c r="E97" s="6" t="s">
        <v>147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2" t="s">
        <v>232</v>
      </c>
      <c r="B98" s="13">
        <v>31.0</v>
      </c>
      <c r="C98" s="12" t="s">
        <v>73</v>
      </c>
      <c r="D98" s="15">
        <v>46221.0</v>
      </c>
      <c r="E98" s="6" t="s">
        <v>149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2" t="s">
        <v>233</v>
      </c>
      <c r="B99" s="13">
        <v>29.0</v>
      </c>
      <c r="C99" s="12" t="s">
        <v>74</v>
      </c>
      <c r="D99" s="15">
        <v>46222.0</v>
      </c>
      <c r="E99" s="6" t="s">
        <v>151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2" t="s">
        <v>234</v>
      </c>
      <c r="B100" s="13">
        <v>35.0</v>
      </c>
      <c r="C100" s="12" t="s">
        <v>44</v>
      </c>
      <c r="D100" s="15">
        <v>46223.0</v>
      </c>
      <c r="E100" s="6" t="s">
        <v>153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2" t="s">
        <v>235</v>
      </c>
      <c r="B101" s="13">
        <v>27.0</v>
      </c>
      <c r="C101" s="12" t="s">
        <v>75</v>
      </c>
      <c r="D101" s="15">
        <v>46224.0</v>
      </c>
      <c r="E101" s="6" t="s">
        <v>155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" t="s">
        <v>236</v>
      </c>
      <c r="B102" s="13">
        <v>33.0</v>
      </c>
      <c r="C102" s="12" t="s">
        <v>48</v>
      </c>
      <c r="D102" s="15">
        <v>46225.0</v>
      </c>
      <c r="E102" s="6" t="s">
        <v>157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2" t="s">
        <v>237</v>
      </c>
      <c r="B103" s="13">
        <v>30.0</v>
      </c>
      <c r="C103" s="12" t="s">
        <v>76</v>
      </c>
      <c r="D103" s="15">
        <v>46226.0</v>
      </c>
      <c r="E103" s="6" t="s">
        <v>159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2" t="s">
        <v>238</v>
      </c>
      <c r="B104" s="13">
        <v>24.0</v>
      </c>
      <c r="C104" s="12" t="s">
        <v>77</v>
      </c>
      <c r="D104" s="15">
        <v>46227.0</v>
      </c>
      <c r="E104" s="6" t="s">
        <v>110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2" t="s">
        <v>239</v>
      </c>
      <c r="B105" s="13">
        <v>28.0</v>
      </c>
      <c r="C105" s="12" t="s">
        <v>78</v>
      </c>
      <c r="D105" s="15">
        <v>46228.0</v>
      </c>
      <c r="E105" s="6" t="s">
        <v>120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2" t="s">
        <v>240</v>
      </c>
      <c r="B106" s="13">
        <v>36.0</v>
      </c>
      <c r="C106" s="12" t="s">
        <v>47</v>
      </c>
      <c r="D106" s="15">
        <v>46229.0</v>
      </c>
      <c r="E106" s="6" t="s">
        <v>163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6"/>
      <c r="B107" s="16"/>
      <c r="C107" s="16"/>
      <c r="D107" s="16"/>
      <c r="E107" s="16"/>
      <c r="F107" s="16"/>
      <c r="G107" s="1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</sheetData>
  <mergeCells count="16">
    <mergeCell ref="E126:G126"/>
    <mergeCell ref="E127:G127"/>
    <mergeCell ref="E128:G128"/>
    <mergeCell ref="E57:G57"/>
    <mergeCell ref="E58:G58"/>
    <mergeCell ref="E59:G59"/>
    <mergeCell ref="E60:G60"/>
    <mergeCell ref="E61:G61"/>
    <mergeCell ref="E62:G62"/>
    <mergeCell ref="E63:G63"/>
    <mergeCell ref="E64:G64"/>
    <mergeCell ref="E121:G121"/>
    <mergeCell ref="E122:G122"/>
    <mergeCell ref="E123:G123"/>
    <mergeCell ref="E124:G124"/>
    <mergeCell ref="E125:G125"/>
  </mergeCells>
  <drawing r:id="rId1"/>
</worksheet>
</file>